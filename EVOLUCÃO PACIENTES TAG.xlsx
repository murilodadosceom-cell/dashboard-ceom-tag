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TA UNICA 02\Downloads\"/>
    </mc:Choice>
  </mc:AlternateContent>
  <xr:revisionPtr revIDLastSave="0" documentId="13_ncr:1_{CAF0BE00-1A40-47E9-9FA6-E90AC18CC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</calcChain>
</file>

<file path=xl/sharedStrings.xml><?xml version="1.0" encoding="utf-8"?>
<sst xmlns="http://schemas.openxmlformats.org/spreadsheetml/2006/main" count="603" uniqueCount="146">
  <si>
    <t>PACIENTE</t>
  </si>
  <si>
    <t>DATA DE APLICAÇÃO</t>
  </si>
  <si>
    <t>APLICACAO DE ANTIBIOTICO</t>
  </si>
  <si>
    <t>1a REVISAO</t>
  </si>
  <si>
    <t>2a REVISÃO</t>
  </si>
  <si>
    <t>28.02.2026</t>
  </si>
  <si>
    <t>EDILZA FERREIRA DA SILVA</t>
  </si>
  <si>
    <t>04.03.2026</t>
  </si>
  <si>
    <t>06.03.2026</t>
  </si>
  <si>
    <t>ELIAS JOSE DE OLIVEIRA</t>
  </si>
  <si>
    <t>02.03.2026</t>
  </si>
  <si>
    <t>05.03.2026</t>
  </si>
  <si>
    <t>07.03.2026</t>
  </si>
  <si>
    <t>3a REVISÃO</t>
  </si>
  <si>
    <t>JOAO FERREIRA DOS SANTOS</t>
  </si>
  <si>
    <t>LATERALIDADE</t>
  </si>
  <si>
    <t>OD</t>
  </si>
  <si>
    <t>AO</t>
  </si>
  <si>
    <t>OE</t>
  </si>
  <si>
    <t>EUFRASIO GOMES DOS SANTOS FILHO</t>
  </si>
  <si>
    <t>03.03.2026</t>
  </si>
  <si>
    <t>4a REVISÃO</t>
  </si>
  <si>
    <t>AURENITA PEREIRA FERREIRA</t>
  </si>
  <si>
    <t>ETELVINA GOMES DA SILVA</t>
  </si>
  <si>
    <t>LUIZA LOPES DA SILVA</t>
  </si>
  <si>
    <t>CARLOS BATISTA DOS SANTOS</t>
  </si>
  <si>
    <t>MARINEUZA NUNES DE MOURA</t>
  </si>
  <si>
    <t>CARLOS PEREIRA DE NOVAES</t>
  </si>
  <si>
    <t>VITORINO DOS SANTOS E SILVA</t>
  </si>
  <si>
    <t>ANALIA SOUZA DE JESUS</t>
  </si>
  <si>
    <t>GILBERTO PEREIRA PONTES</t>
  </si>
  <si>
    <t>FRANCISCA MARIA GALDINO LUIZ</t>
  </si>
  <si>
    <t>GENIVALDO BATISTA DE SOUZA</t>
  </si>
  <si>
    <t>ERNESTO PEREIRA MACHADO</t>
  </si>
  <si>
    <t>MARIA SILVA ARAUJO</t>
  </si>
  <si>
    <t>01.03.2026</t>
  </si>
  <si>
    <t>MARILENE ALVES DE JESUS</t>
  </si>
  <si>
    <t>ANGELO PEREIRA DA SILVA</t>
  </si>
  <si>
    <t>NOEME RODRIGUES DE SOUZA</t>
  </si>
  <si>
    <t>JORGE MELQUIADES DE ALMEIDA</t>
  </si>
  <si>
    <t>JOSEANA GONZAGA DE SENA PEREIRA</t>
  </si>
  <si>
    <t>MARIA DE FATIMA SANTANA MELO</t>
  </si>
  <si>
    <t>EDNAIDE MARTINS DE SOUZA</t>
  </si>
  <si>
    <t>ISABEL NOVAES NETA</t>
  </si>
  <si>
    <t>02.03.2026`</t>
  </si>
  <si>
    <t>ITAMAR OLIVEIRA BARRETO</t>
  </si>
  <si>
    <t>HILNEI MACEDO DA SILVA</t>
  </si>
  <si>
    <t>02.02.2026</t>
  </si>
  <si>
    <t>JOSE GOMES PATRIOTA</t>
  </si>
  <si>
    <t>EULALIA OLIVEIRA DA PAIXÃO</t>
  </si>
  <si>
    <t>VALDETE ALVES SILVA</t>
  </si>
  <si>
    <t>MARIA SOUZA DE ARAUJO</t>
  </si>
  <si>
    <t>EUGENIO FREITAS</t>
  </si>
  <si>
    <t>JOSE XAVIER DOS SANTOS</t>
  </si>
  <si>
    <t>JOSE FRANCISCO DA SILVA</t>
  </si>
  <si>
    <t>OBS:</t>
  </si>
  <si>
    <t>14.03.2026</t>
  </si>
  <si>
    <t>17.03.2026</t>
  </si>
  <si>
    <t>5a REVISÃO</t>
  </si>
  <si>
    <t>20.03.2026</t>
  </si>
  <si>
    <t>10.03.2026</t>
  </si>
  <si>
    <t>21.03.2026</t>
  </si>
  <si>
    <t>24.03.2026</t>
  </si>
  <si>
    <t>6a REVISAO</t>
  </si>
  <si>
    <t>15.03.2026</t>
  </si>
  <si>
    <t>11.03.2026</t>
  </si>
  <si>
    <t>VITRECTOMIA</t>
  </si>
  <si>
    <t>19.03.2026</t>
  </si>
  <si>
    <t>REV. CIRÚRGICA</t>
  </si>
  <si>
    <t>26.03.2026</t>
  </si>
  <si>
    <t>2a REV. CIR.</t>
  </si>
  <si>
    <t>CULTURA MAT</t>
  </si>
  <si>
    <t>DALVA VIEIRA DOS SANTOS</t>
  </si>
  <si>
    <t>7a REVISÃO</t>
  </si>
  <si>
    <t>18.03.2026</t>
  </si>
  <si>
    <t>8a REVISÃO</t>
  </si>
  <si>
    <t>LAVAGEM CÂMARA</t>
  </si>
  <si>
    <t>23.03.2026</t>
  </si>
  <si>
    <t>13.03.2026</t>
  </si>
  <si>
    <t>28.03.2026</t>
  </si>
  <si>
    <t>27.03.2026</t>
  </si>
  <si>
    <t>2a APL. ANTIBIÓTICO</t>
  </si>
  <si>
    <t>LATERALIDADE DA REAÇÃO</t>
  </si>
  <si>
    <t>CREUZA FELISSIMA SOUZA SILVA</t>
  </si>
  <si>
    <t>INTERNAÇÃO</t>
  </si>
  <si>
    <t>ALTA</t>
  </si>
  <si>
    <t>12.03.2026</t>
  </si>
  <si>
    <t>CELMA FRANCISCA CRUZ</t>
  </si>
  <si>
    <t>ZENALIA ARAÚJO NUNES</t>
  </si>
  <si>
    <t>09.03.2026</t>
  </si>
  <si>
    <t>9a REVISÃO</t>
  </si>
  <si>
    <t>01.04.2026</t>
  </si>
  <si>
    <t>02.04.2026</t>
  </si>
  <si>
    <t>3a REV. CIR</t>
  </si>
  <si>
    <t>04.04.2026</t>
  </si>
  <si>
    <t>10a REVISÃO</t>
  </si>
  <si>
    <t>11.04.2026</t>
  </si>
  <si>
    <t>ENTRAMOS EM CONTATO PARA AVALIAÇÃO CIRÚRGICA E NÃO COMPARECEU</t>
  </si>
  <si>
    <t>ENTRAMOS EM CONTATO PARA AVALIAÇÃO CIRÚRGICA E NÃO COMPARECEU / ESTAVA EM SSA</t>
  </si>
  <si>
    <t>NÃO CONSEGUIMOS CONTATO/BONINAL</t>
  </si>
  <si>
    <t>EVISCERAÇÃO 17.03.2026</t>
  </si>
  <si>
    <t>2o OLHO VITRE</t>
  </si>
  <si>
    <t>AVALIAÇÃO CIRURGICA EM SSA COM DRA VERONICA QUARTA FEIRA 08.04</t>
  </si>
  <si>
    <t>ATENDIMENTOS DISPONIBILIZADOS DE ENDÓCRINO / CARDIOLOGISTA ALÉM DO OCULAR</t>
  </si>
  <si>
    <t>OPERADO</t>
  </si>
  <si>
    <t>08.03.2026</t>
  </si>
  <si>
    <t>MUNICIPIO</t>
  </si>
  <si>
    <t>IDADE</t>
  </si>
  <si>
    <t>DATA NASCIMENTO</t>
  </si>
  <si>
    <t>JACOBINA</t>
  </si>
  <si>
    <t>CENTRAL</t>
  </si>
  <si>
    <t>UIBAI</t>
  </si>
  <si>
    <t>MORRO DO CHAPEU</t>
  </si>
  <si>
    <t>SERROLANDIA</t>
  </si>
  <si>
    <t>BONINAL</t>
  </si>
  <si>
    <t>IRECE</t>
  </si>
  <si>
    <t>TAPIRAMUTA</t>
  </si>
  <si>
    <t>ITAGUACU</t>
  </si>
  <si>
    <t>MIGUEL CALMON</t>
  </si>
  <si>
    <t>CANARANA</t>
  </si>
  <si>
    <t>MUCUGE</t>
  </si>
  <si>
    <t>XIQUE-XIQUE</t>
  </si>
  <si>
    <t>SEABRA</t>
  </si>
  <si>
    <t>ITAGUAÇU</t>
  </si>
  <si>
    <t>GENTIO DO OURO</t>
  </si>
  <si>
    <t>JOAO DOURADO</t>
  </si>
  <si>
    <t>IBITITA</t>
  </si>
  <si>
    <t>IRECÊ</t>
  </si>
  <si>
    <t>LOTES</t>
  </si>
  <si>
    <t>H0392H01</t>
  </si>
  <si>
    <t>260100437 diluição</t>
  </si>
  <si>
    <t>09.04.2026</t>
  </si>
  <si>
    <t>10.04.2026</t>
  </si>
  <si>
    <t>09.04.2026(AVALIAÇÃO CLINICA E OFTAMOLOGICA</t>
  </si>
  <si>
    <t>12.04.2026</t>
  </si>
  <si>
    <t>14.04.2026</t>
  </si>
  <si>
    <t>07.04.2026</t>
  </si>
  <si>
    <t>2o REV. CIRÚRGICA</t>
  </si>
  <si>
    <t>15.04.2026</t>
  </si>
  <si>
    <t>OPERADO em outro serviço de saúde</t>
  </si>
  <si>
    <t>11.04.2026(NÃO COMPARECEU)</t>
  </si>
  <si>
    <t>OBS GERAIS</t>
  </si>
  <si>
    <t>NÃO OPEROU DIA 11.04.2026 POR OPÇÃO DA PACIENTE, MESMO ESTANDO AGENDADO.</t>
  </si>
  <si>
    <t>SE RECUSOU VIR PARA AVALIAÇÕES</t>
  </si>
  <si>
    <t>ENTRAMOS EM CONTATO PARA AVALIAÇÃO CIRÚRGICA E NÃO COMPARECEU/ BUSCOU SERVIÇO EM SSA 04.04 NÃO COMPARECEUAO ATENDIMENTO AGENDADO</t>
  </si>
  <si>
    <t>03.03.2026 (Aplicação de antibiotico em oe, paciente não coperou para aplicação no 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</si>
</sst>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14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49" fontId="3" fillId="2" borderId="3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14" fontId="3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49" fontId="3" fillId="4" borderId="3" xfId="0" applyNumberFormat="1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4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E41" totalsRowShown="0" headerRowDxfId="33" dataDxfId="31" headerRowBorderDxfId="32" tableBorderDxfId="30">
  <autoFilter ref="A1:AE41" xr:uid="{00000000-0009-0000-0100-000001000000}"/>
  <tableColumns count="31">
    <tableColumn id="1" xr3:uid="{00000000-0010-0000-0000-000001000000}" name="PACIENTE" dataDxfId="29"/>
    <tableColumn id="2" xr3:uid="{00000000-0010-0000-0000-000002000000}" name="DATA DE APLICAÇÃO" dataDxfId="28"/>
    <tableColumn id="3" xr3:uid="{00000000-0010-0000-0000-000003000000}" name="MUNICIPIO" dataDxfId="27"/>
    <tableColumn id="4" xr3:uid="{00000000-0010-0000-0000-000004000000}" name="DATA NASCIMENTO" dataDxfId="26"/>
    <tableColumn id="5" xr3:uid="{00000000-0010-0000-0000-000005000000}" name="IDADE" dataDxfId="25"/>
    <tableColumn id="6" xr3:uid="{00000000-0010-0000-0000-000006000000}" name="LOTES" dataDxfId="24"/>
    <tableColumn id="7" xr3:uid="{00000000-0010-0000-0000-000007000000}" name="LATERALIDADE" dataDxfId="23"/>
    <tableColumn id="8" xr3:uid="{00000000-0010-0000-0000-000008000000}" name="LATERALIDADE DA REAÇÃO" dataDxfId="22"/>
    <tableColumn id="9" xr3:uid="{00000000-0010-0000-0000-000009000000}" name="1a REVISAO" dataDxfId="21"/>
    <tableColumn id="10" xr3:uid="{00000000-0010-0000-0000-00000A000000}" name="APLICACAO DE ANTIBIOTICO" dataDxfId="20"/>
    <tableColumn id="11" xr3:uid="{00000000-0010-0000-0000-00000B000000}" name="2a REVISÃO" dataDxfId="19"/>
    <tableColumn id="12" xr3:uid="{00000000-0010-0000-0000-00000C000000}" name="3a REVISÃO" dataDxfId="18"/>
    <tableColumn id="13" xr3:uid="{00000000-0010-0000-0000-00000D000000}" name="4a REVISÃO" dataDxfId="17"/>
    <tableColumn id="14" xr3:uid="{00000000-0010-0000-0000-00000E000000}" name="5a REVISÃO" dataDxfId="16"/>
    <tableColumn id="15" xr3:uid="{00000000-0010-0000-0000-00000F000000}" name="6a REVISAO" dataDxfId="15"/>
    <tableColumn id="16" xr3:uid="{00000000-0010-0000-0000-000010000000}" name="7a REVISÃO" dataDxfId="14"/>
    <tableColumn id="17" xr3:uid="{00000000-0010-0000-0000-000011000000}" name="8a REVISÃO" dataDxfId="13"/>
    <tableColumn id="18" xr3:uid="{00000000-0010-0000-0000-000012000000}" name="9a REVISÃO"/>
    <tableColumn id="19" xr3:uid="{00000000-0010-0000-0000-000013000000}" name="10a REVISÃO" dataDxfId="12"/>
    <tableColumn id="20" xr3:uid="{00000000-0010-0000-0000-000014000000}" name="INTERNAÇÃO" dataDxfId="11"/>
    <tableColumn id="21" xr3:uid="{00000000-0010-0000-0000-000015000000}" name="ALTA" dataDxfId="10"/>
    <tableColumn id="22" xr3:uid="{00000000-0010-0000-0000-000016000000}" name="2a APL. ANTIBIÓTICO" dataDxfId="9"/>
    <tableColumn id="23" xr3:uid="{00000000-0010-0000-0000-000017000000}" name="LAVAGEM CÂMARA" dataDxfId="8"/>
    <tableColumn id="24" xr3:uid="{00000000-0010-0000-0000-000018000000}" name="CULTURA MAT" dataDxfId="7"/>
    <tableColumn id="25" xr3:uid="{00000000-0010-0000-0000-000019000000}" name="VITRECTOMIA" dataDxfId="6"/>
    <tableColumn id="26" xr3:uid="{00000000-0010-0000-0000-00001A000000}" name="REV. CIRÚRGICA" dataDxfId="5"/>
    <tableColumn id="27" xr3:uid="{00000000-0010-0000-0000-00001B000000}" name="2a REV. CIR." dataDxfId="4"/>
    <tableColumn id="28" xr3:uid="{00000000-0010-0000-0000-00001C000000}" name="3a REV. CIR" dataDxfId="3"/>
    <tableColumn id="29" xr3:uid="{00000000-0010-0000-0000-00001D000000}" name="2o OLHO VITRE" dataDxfId="2"/>
    <tableColumn id="30" xr3:uid="{00000000-0010-0000-0000-00001E000000}" name="2o REV. CIRÚRGICA" dataDxfId="1"/>
    <tableColumn id="31" xr3:uid="{00000000-0010-0000-0000-00001F000000}" name="OBS GERAI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1"/>
  <sheetViews>
    <sheetView tabSelected="1" zoomScale="40" zoomScaleNormal="40" workbookViewId="0">
      <pane xSplit="2" topLeftCell="C1" activePane="topRight" state="frozen"/>
      <selection pane="topRight" activeCell="Y33" sqref="Y33"/>
    </sheetView>
  </sheetViews>
  <sheetFormatPr defaultColWidth="11" defaultRowHeight="15.75" x14ac:dyDescent="0.25"/>
  <cols>
    <col min="1" max="1" width="41.625" style="3" bestFit="1" customWidth="1"/>
    <col min="2" max="2" width="27.5" style="3" customWidth="1"/>
    <col min="3" max="3" width="22.25" style="3" bestFit="1" customWidth="1"/>
    <col min="4" max="4" width="26.625" style="3" customWidth="1"/>
    <col min="5" max="5" width="10.625" style="2" customWidth="1"/>
    <col min="6" max="6" width="20.375" style="2" bestFit="1" customWidth="1"/>
    <col min="7" max="7" width="21" style="6" customWidth="1"/>
    <col min="8" max="8" width="35.625" style="6" customWidth="1"/>
    <col min="9" max="9" width="17.125" style="6" customWidth="1"/>
    <col min="10" max="10" width="36.625" style="6" customWidth="1"/>
    <col min="11" max="17" width="17.125" style="6" customWidth="1"/>
    <col min="18" max="18" width="53.875" style="3" bestFit="1" customWidth="1"/>
    <col min="19" max="19" width="18.5" style="3" customWidth="1"/>
    <col min="20" max="20" width="18.75" style="3" customWidth="1"/>
    <col min="21" max="21" width="14.75" style="3" bestFit="1" customWidth="1"/>
    <col min="22" max="22" width="28.125" style="3" customWidth="1"/>
    <col min="23" max="23" width="26.25" style="3" customWidth="1"/>
    <col min="24" max="24" width="20.375" style="3" customWidth="1"/>
    <col min="25" max="25" width="39" style="3" customWidth="1"/>
    <col min="26" max="26" width="22.5" style="3" customWidth="1"/>
    <col min="27" max="27" width="17.5" style="3" customWidth="1"/>
    <col min="28" max="28" width="16.625" style="3" customWidth="1"/>
    <col min="29" max="29" width="21.25" style="3" customWidth="1"/>
    <col min="30" max="30" width="26.25" style="3" customWidth="1"/>
    <col min="31" max="31" width="29.125" style="3" customWidth="1"/>
    <col min="32" max="16384" width="11" style="3"/>
  </cols>
  <sheetData>
    <row r="1" spans="1:31" ht="52.5" x14ac:dyDescent="0.4">
      <c r="A1" s="9" t="s">
        <v>0</v>
      </c>
      <c r="B1" s="9" t="s">
        <v>1</v>
      </c>
      <c r="C1" s="9" t="s">
        <v>106</v>
      </c>
      <c r="D1" s="9" t="s">
        <v>108</v>
      </c>
      <c r="E1" s="9" t="s">
        <v>107</v>
      </c>
      <c r="F1" s="9" t="s">
        <v>128</v>
      </c>
      <c r="G1" s="9" t="s">
        <v>15</v>
      </c>
      <c r="H1" s="9" t="s">
        <v>82</v>
      </c>
      <c r="I1" s="9" t="s">
        <v>3</v>
      </c>
      <c r="J1" s="9" t="s">
        <v>2</v>
      </c>
      <c r="K1" s="9" t="s">
        <v>4</v>
      </c>
      <c r="L1" s="9" t="s">
        <v>13</v>
      </c>
      <c r="M1" s="9" t="s">
        <v>21</v>
      </c>
      <c r="N1" s="9" t="s">
        <v>58</v>
      </c>
      <c r="O1" s="9" t="s">
        <v>63</v>
      </c>
      <c r="P1" s="9" t="s">
        <v>73</v>
      </c>
      <c r="Q1" s="9" t="s">
        <v>75</v>
      </c>
      <c r="R1" s="9" t="s">
        <v>90</v>
      </c>
      <c r="S1" s="9" t="s">
        <v>95</v>
      </c>
      <c r="T1" s="9" t="s">
        <v>84</v>
      </c>
      <c r="U1" s="9" t="s">
        <v>85</v>
      </c>
      <c r="V1" s="9" t="s">
        <v>81</v>
      </c>
      <c r="W1" s="9" t="s">
        <v>76</v>
      </c>
      <c r="X1" s="9" t="s">
        <v>71</v>
      </c>
      <c r="Y1" s="9" t="s">
        <v>66</v>
      </c>
      <c r="Z1" s="9" t="s">
        <v>68</v>
      </c>
      <c r="AA1" s="9" t="s">
        <v>70</v>
      </c>
      <c r="AB1" s="9" t="s">
        <v>93</v>
      </c>
      <c r="AC1" s="9" t="s">
        <v>101</v>
      </c>
      <c r="AD1" s="9" t="s">
        <v>137</v>
      </c>
      <c r="AE1" s="9" t="s">
        <v>141</v>
      </c>
    </row>
    <row r="2" spans="1:31" ht="52.5" x14ac:dyDescent="0.4">
      <c r="A2" s="10" t="s">
        <v>6</v>
      </c>
      <c r="B2" s="10" t="s">
        <v>5</v>
      </c>
      <c r="C2" s="10" t="s">
        <v>110</v>
      </c>
      <c r="D2" s="11">
        <v>20694</v>
      </c>
      <c r="E2" s="8">
        <f ca="1">DATEDIF(D2, TODAY(), "Y")</f>
        <v>69</v>
      </c>
      <c r="F2" s="12" t="s">
        <v>129</v>
      </c>
      <c r="G2" s="13" t="s">
        <v>16</v>
      </c>
      <c r="H2" s="13" t="s">
        <v>16</v>
      </c>
      <c r="I2" s="13" t="s">
        <v>7</v>
      </c>
      <c r="J2" s="13" t="s">
        <v>7</v>
      </c>
      <c r="K2" s="13" t="s">
        <v>8</v>
      </c>
      <c r="L2" s="13" t="s">
        <v>60</v>
      </c>
      <c r="M2" s="13" t="s">
        <v>56</v>
      </c>
      <c r="N2" s="13" t="s">
        <v>80</v>
      </c>
      <c r="O2" s="13" t="s">
        <v>94</v>
      </c>
      <c r="P2" s="13" t="s">
        <v>131</v>
      </c>
      <c r="Q2" s="13" t="s">
        <v>132</v>
      </c>
      <c r="R2" s="10"/>
      <c r="S2" s="10"/>
      <c r="T2" s="10" t="s">
        <v>86</v>
      </c>
      <c r="U2" s="10" t="s">
        <v>77</v>
      </c>
      <c r="V2" s="10"/>
      <c r="W2" s="10"/>
      <c r="X2" s="10"/>
      <c r="Y2" s="14" t="s">
        <v>96</v>
      </c>
      <c r="Z2" s="10" t="s">
        <v>134</v>
      </c>
      <c r="AA2" s="10"/>
      <c r="AB2" s="10"/>
      <c r="AC2" s="10"/>
      <c r="AD2" s="10"/>
      <c r="AE2" s="10"/>
    </row>
    <row r="3" spans="1:31" ht="52.5" x14ac:dyDescent="0.4">
      <c r="A3" s="10" t="s">
        <v>9</v>
      </c>
      <c r="B3" s="10" t="s">
        <v>5</v>
      </c>
      <c r="C3" s="10" t="s">
        <v>127</v>
      </c>
      <c r="D3" s="11">
        <v>20790</v>
      </c>
      <c r="E3" s="8">
        <f t="shared" ref="E3:E40" ca="1" si="0">DATEDIF(D3, TODAY(), "Y")</f>
        <v>69</v>
      </c>
      <c r="F3" s="12">
        <v>30051183</v>
      </c>
      <c r="G3" s="13" t="s">
        <v>17</v>
      </c>
      <c r="H3" s="13" t="s">
        <v>17</v>
      </c>
      <c r="I3" s="13" t="s">
        <v>10</v>
      </c>
      <c r="J3" s="13" t="s">
        <v>10</v>
      </c>
      <c r="K3" s="13" t="s">
        <v>11</v>
      </c>
      <c r="L3" s="13" t="s">
        <v>12</v>
      </c>
      <c r="M3" s="13" t="s">
        <v>60</v>
      </c>
      <c r="N3" s="13" t="s">
        <v>56</v>
      </c>
      <c r="O3" s="13" t="s">
        <v>57</v>
      </c>
      <c r="P3" s="13" t="s">
        <v>80</v>
      </c>
      <c r="Q3" s="13" t="s">
        <v>92</v>
      </c>
      <c r="R3" s="15" t="s">
        <v>102</v>
      </c>
      <c r="S3" s="10" t="s">
        <v>131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ht="52.5" x14ac:dyDescent="0.4">
      <c r="A4" s="10" t="s">
        <v>14</v>
      </c>
      <c r="B4" s="10" t="s">
        <v>5</v>
      </c>
      <c r="C4" s="10" t="s">
        <v>123</v>
      </c>
      <c r="D4" s="11">
        <v>21724</v>
      </c>
      <c r="E4" s="8">
        <f t="shared" ca="1" si="0"/>
        <v>66</v>
      </c>
      <c r="F4" s="12">
        <v>30051183</v>
      </c>
      <c r="G4" s="13" t="s">
        <v>17</v>
      </c>
      <c r="H4" s="13" t="s">
        <v>17</v>
      </c>
      <c r="I4" s="13" t="s">
        <v>10</v>
      </c>
      <c r="J4" s="13" t="s">
        <v>10</v>
      </c>
      <c r="K4" s="13" t="s">
        <v>7</v>
      </c>
      <c r="L4" s="13" t="s">
        <v>8</v>
      </c>
      <c r="M4" s="13" t="s">
        <v>60</v>
      </c>
      <c r="N4" s="13" t="s">
        <v>56</v>
      </c>
      <c r="O4" s="13" t="s">
        <v>57</v>
      </c>
      <c r="P4" s="13" t="s">
        <v>67</v>
      </c>
      <c r="Q4" s="13" t="s">
        <v>59</v>
      </c>
      <c r="R4" s="10" t="s">
        <v>80</v>
      </c>
      <c r="S4" s="10" t="s">
        <v>94</v>
      </c>
      <c r="T4" s="10"/>
      <c r="U4" s="10"/>
      <c r="V4" s="10"/>
      <c r="W4" s="10" t="s">
        <v>67</v>
      </c>
      <c r="X4" s="10"/>
      <c r="Y4" s="14" t="s">
        <v>96</v>
      </c>
      <c r="Z4" s="10" t="s">
        <v>134</v>
      </c>
      <c r="AA4" s="10"/>
      <c r="AB4" s="10"/>
      <c r="AC4" s="10"/>
      <c r="AD4" s="10"/>
      <c r="AE4" s="10"/>
    </row>
    <row r="5" spans="1:31" ht="52.5" x14ac:dyDescent="0.4">
      <c r="A5" s="10" t="s">
        <v>19</v>
      </c>
      <c r="B5" s="10" t="s">
        <v>5</v>
      </c>
      <c r="C5" s="10" t="s">
        <v>126</v>
      </c>
      <c r="D5" s="11">
        <v>25132</v>
      </c>
      <c r="E5" s="8">
        <f t="shared" ca="1" si="0"/>
        <v>57</v>
      </c>
      <c r="F5" s="12">
        <v>30051183</v>
      </c>
      <c r="G5" s="13" t="s">
        <v>17</v>
      </c>
      <c r="H5" s="13" t="s">
        <v>16</v>
      </c>
      <c r="I5" s="13" t="s">
        <v>10</v>
      </c>
      <c r="J5" s="13" t="s">
        <v>10</v>
      </c>
      <c r="K5" s="13" t="s">
        <v>7</v>
      </c>
      <c r="L5" s="13" t="s">
        <v>12</v>
      </c>
      <c r="M5" s="13" t="s">
        <v>65</v>
      </c>
      <c r="N5" s="13" t="s">
        <v>78</v>
      </c>
      <c r="O5" s="13" t="s">
        <v>74</v>
      </c>
      <c r="P5" s="13" t="s">
        <v>59</v>
      </c>
      <c r="Q5" s="13" t="s">
        <v>77</v>
      </c>
      <c r="R5" s="10"/>
      <c r="S5" s="10"/>
      <c r="T5" s="10"/>
      <c r="U5" s="10"/>
      <c r="V5" s="10"/>
      <c r="W5" s="10" t="s">
        <v>62</v>
      </c>
      <c r="X5" s="10" t="s">
        <v>65</v>
      </c>
      <c r="Y5" s="10"/>
      <c r="Z5" s="10"/>
      <c r="AA5" s="10"/>
      <c r="AB5" s="10"/>
      <c r="AC5" s="10"/>
      <c r="AD5" s="10"/>
      <c r="AE5" s="10"/>
    </row>
    <row r="6" spans="1:31" s="4" customFormat="1" ht="52.5" x14ac:dyDescent="0.4">
      <c r="A6" s="16" t="s">
        <v>22</v>
      </c>
      <c r="B6" s="16" t="s">
        <v>5</v>
      </c>
      <c r="C6" s="16" t="s">
        <v>123</v>
      </c>
      <c r="D6" s="17">
        <v>24323</v>
      </c>
      <c r="E6" s="18">
        <f t="shared" ca="1" si="0"/>
        <v>59</v>
      </c>
      <c r="F6" s="19">
        <v>30051183</v>
      </c>
      <c r="G6" s="20" t="s">
        <v>18</v>
      </c>
      <c r="H6" s="20" t="s">
        <v>18</v>
      </c>
      <c r="I6" s="20" t="s">
        <v>10</v>
      </c>
      <c r="J6" s="20" t="s">
        <v>10</v>
      </c>
      <c r="K6" s="20" t="s">
        <v>7</v>
      </c>
      <c r="L6" s="20" t="s">
        <v>8</v>
      </c>
      <c r="M6" s="20" t="s">
        <v>60</v>
      </c>
      <c r="N6" s="20" t="s">
        <v>56</v>
      </c>
      <c r="O6" s="20" t="s">
        <v>59</v>
      </c>
      <c r="P6" s="20" t="s">
        <v>62</v>
      </c>
      <c r="Q6" s="20"/>
      <c r="R6" s="20" t="s">
        <v>104</v>
      </c>
      <c r="S6" s="16"/>
      <c r="T6" s="16"/>
      <c r="U6" s="16"/>
      <c r="V6" s="16"/>
      <c r="W6" s="16"/>
      <c r="X6" s="16"/>
      <c r="Y6" s="16" t="s">
        <v>91</v>
      </c>
      <c r="Z6" s="16" t="s">
        <v>92</v>
      </c>
      <c r="AA6" s="16"/>
      <c r="AB6" s="16"/>
      <c r="AC6" s="16"/>
      <c r="AD6" s="16"/>
      <c r="AE6" s="16"/>
    </row>
    <row r="7" spans="1:31" s="4" customFormat="1" ht="52.5" x14ac:dyDescent="0.4">
      <c r="A7" s="16" t="s">
        <v>23</v>
      </c>
      <c r="B7" s="16" t="s">
        <v>5</v>
      </c>
      <c r="C7" s="16" t="s">
        <v>115</v>
      </c>
      <c r="D7" s="17">
        <v>25289</v>
      </c>
      <c r="E7" s="18">
        <f t="shared" ca="1" si="0"/>
        <v>57</v>
      </c>
      <c r="F7" s="19">
        <v>30051183</v>
      </c>
      <c r="G7" s="20" t="s">
        <v>18</v>
      </c>
      <c r="H7" s="20" t="s">
        <v>18</v>
      </c>
      <c r="I7" s="20" t="s">
        <v>10</v>
      </c>
      <c r="J7" s="20" t="s">
        <v>10</v>
      </c>
      <c r="K7" s="20" t="s">
        <v>7</v>
      </c>
      <c r="L7" s="20" t="s">
        <v>8</v>
      </c>
      <c r="M7" s="20" t="s">
        <v>60</v>
      </c>
      <c r="N7" s="20" t="s">
        <v>56</v>
      </c>
      <c r="O7" s="20" t="s">
        <v>57</v>
      </c>
      <c r="P7" s="20"/>
      <c r="Q7" s="20"/>
      <c r="R7" s="20" t="s">
        <v>104</v>
      </c>
      <c r="S7" s="16"/>
      <c r="T7" s="16"/>
      <c r="U7" s="16"/>
      <c r="V7" s="16"/>
      <c r="W7" s="16"/>
      <c r="X7" s="16"/>
      <c r="Y7" s="16" t="s">
        <v>67</v>
      </c>
      <c r="Z7" s="16" t="s">
        <v>59</v>
      </c>
      <c r="AA7" s="16" t="s">
        <v>69</v>
      </c>
      <c r="AB7" s="16"/>
      <c r="AC7" s="16"/>
      <c r="AD7" s="16"/>
      <c r="AE7" s="16"/>
    </row>
    <row r="8" spans="1:31" s="35" customFormat="1" ht="157.5" x14ac:dyDescent="0.25">
      <c r="A8" s="28" t="s">
        <v>24</v>
      </c>
      <c r="B8" s="28" t="s">
        <v>5</v>
      </c>
      <c r="C8" s="28" t="s">
        <v>115</v>
      </c>
      <c r="D8" s="29">
        <v>23302</v>
      </c>
      <c r="E8" s="30">
        <f t="shared" ca="1" si="0"/>
        <v>62</v>
      </c>
      <c r="F8" s="31">
        <v>30051183</v>
      </c>
      <c r="G8" s="32" t="s">
        <v>17</v>
      </c>
      <c r="H8" s="32" t="s">
        <v>18</v>
      </c>
      <c r="I8" s="32" t="s">
        <v>10</v>
      </c>
      <c r="J8" s="32" t="s">
        <v>10</v>
      </c>
      <c r="K8" s="32" t="s">
        <v>11</v>
      </c>
      <c r="L8" s="32" t="s">
        <v>12</v>
      </c>
      <c r="M8" s="32" t="s">
        <v>60</v>
      </c>
      <c r="N8" s="32" t="s">
        <v>65</v>
      </c>
      <c r="O8" s="32" t="s">
        <v>78</v>
      </c>
      <c r="P8" s="32" t="s">
        <v>59</v>
      </c>
      <c r="Q8" s="32" t="s">
        <v>77</v>
      </c>
      <c r="R8" s="33" t="s">
        <v>144</v>
      </c>
      <c r="S8" s="34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1:31" s="4" customFormat="1" ht="52.5" x14ac:dyDescent="0.4">
      <c r="A9" s="16" t="s">
        <v>25</v>
      </c>
      <c r="B9" s="16" t="s">
        <v>5</v>
      </c>
      <c r="C9" s="16" t="s">
        <v>115</v>
      </c>
      <c r="D9" s="17">
        <v>24430</v>
      </c>
      <c r="E9" s="18">
        <f t="shared" ca="1" si="0"/>
        <v>59</v>
      </c>
      <c r="F9" s="19" t="s">
        <v>130</v>
      </c>
      <c r="G9" s="20" t="s">
        <v>16</v>
      </c>
      <c r="H9" s="20" t="s">
        <v>16</v>
      </c>
      <c r="I9" s="20" t="s">
        <v>10</v>
      </c>
      <c r="J9" s="20" t="s">
        <v>10</v>
      </c>
      <c r="K9" s="20" t="s">
        <v>7</v>
      </c>
      <c r="L9" s="20" t="s">
        <v>8</v>
      </c>
      <c r="M9" s="20" t="s">
        <v>60</v>
      </c>
      <c r="N9" s="20" t="s">
        <v>56</v>
      </c>
      <c r="O9" s="20" t="s">
        <v>57</v>
      </c>
      <c r="P9" s="20"/>
      <c r="Q9" s="20"/>
      <c r="R9" s="20" t="s">
        <v>104</v>
      </c>
      <c r="S9" s="16"/>
      <c r="T9" s="16"/>
      <c r="U9" s="16"/>
      <c r="V9" s="16"/>
      <c r="W9" s="16"/>
      <c r="X9" s="16"/>
      <c r="Y9" s="16" t="s">
        <v>91</v>
      </c>
      <c r="Z9" s="16" t="s">
        <v>92</v>
      </c>
      <c r="AA9" s="16" t="s">
        <v>135</v>
      </c>
      <c r="AB9" s="16"/>
      <c r="AC9" s="16"/>
      <c r="AD9" s="16"/>
      <c r="AE9" s="16"/>
    </row>
    <row r="10" spans="1:31" s="4" customFormat="1" ht="52.5" x14ac:dyDescent="0.4">
      <c r="A10" s="16" t="s">
        <v>26</v>
      </c>
      <c r="B10" s="16" t="s">
        <v>5</v>
      </c>
      <c r="C10" s="16" t="s">
        <v>110</v>
      </c>
      <c r="D10" s="17">
        <v>24476</v>
      </c>
      <c r="E10" s="18">
        <f t="shared" ca="1" si="0"/>
        <v>59</v>
      </c>
      <c r="F10" s="19">
        <v>30051183</v>
      </c>
      <c r="G10" s="20" t="s">
        <v>17</v>
      </c>
      <c r="H10" s="20" t="s">
        <v>17</v>
      </c>
      <c r="I10" s="20" t="s">
        <v>10</v>
      </c>
      <c r="J10" s="20" t="s">
        <v>10</v>
      </c>
      <c r="K10" s="20" t="s">
        <v>7</v>
      </c>
      <c r="L10" s="20" t="s">
        <v>8</v>
      </c>
      <c r="M10" s="20" t="s">
        <v>60</v>
      </c>
      <c r="N10" s="20" t="s">
        <v>56</v>
      </c>
      <c r="O10" s="20" t="s">
        <v>57</v>
      </c>
      <c r="P10" s="20"/>
      <c r="Q10" s="20"/>
      <c r="R10" s="20" t="s">
        <v>104</v>
      </c>
      <c r="S10" s="16"/>
      <c r="T10" s="16"/>
      <c r="U10" s="16"/>
      <c r="V10" s="16"/>
      <c r="W10" s="16"/>
      <c r="X10" s="16"/>
      <c r="Y10" s="16" t="s">
        <v>67</v>
      </c>
      <c r="Z10" s="16" t="s">
        <v>59</v>
      </c>
      <c r="AA10" s="16" t="s">
        <v>62</v>
      </c>
      <c r="AB10" s="16" t="s">
        <v>94</v>
      </c>
      <c r="AC10" s="14" t="s">
        <v>96</v>
      </c>
      <c r="AD10" s="16" t="s">
        <v>134</v>
      </c>
      <c r="AE10" s="16"/>
    </row>
    <row r="11" spans="1:31" s="4" customFormat="1" ht="52.5" x14ac:dyDescent="0.4">
      <c r="A11" s="16" t="s">
        <v>27</v>
      </c>
      <c r="B11" s="16" t="s">
        <v>5</v>
      </c>
      <c r="C11" s="16" t="s">
        <v>119</v>
      </c>
      <c r="D11" s="17">
        <v>24250</v>
      </c>
      <c r="E11" s="18">
        <f t="shared" ca="1" si="0"/>
        <v>59</v>
      </c>
      <c r="F11" s="19">
        <v>30051183</v>
      </c>
      <c r="G11" s="20" t="s">
        <v>18</v>
      </c>
      <c r="H11" s="20" t="s">
        <v>18</v>
      </c>
      <c r="I11" s="20" t="s">
        <v>10</v>
      </c>
      <c r="J11" s="20" t="s">
        <v>10</v>
      </c>
      <c r="K11" s="20" t="s">
        <v>7</v>
      </c>
      <c r="L11" s="20" t="s">
        <v>60</v>
      </c>
      <c r="M11" s="20" t="s">
        <v>64</v>
      </c>
      <c r="N11" s="20" t="s">
        <v>59</v>
      </c>
      <c r="O11" s="20" t="s">
        <v>62</v>
      </c>
      <c r="P11" s="20"/>
      <c r="Q11" s="20"/>
      <c r="R11" s="20" t="s">
        <v>104</v>
      </c>
      <c r="S11" s="16"/>
      <c r="T11" s="16"/>
      <c r="U11" s="16"/>
      <c r="V11" s="16"/>
      <c r="W11" s="16"/>
      <c r="X11" s="16"/>
      <c r="Y11" s="16" t="s">
        <v>91</v>
      </c>
      <c r="Z11" s="16" t="s">
        <v>92</v>
      </c>
      <c r="AA11" s="16" t="s">
        <v>136</v>
      </c>
      <c r="AB11" s="16"/>
      <c r="AC11" s="16"/>
      <c r="AD11" s="16"/>
      <c r="AE11" s="16"/>
    </row>
    <row r="12" spans="1:31" s="4" customFormat="1" ht="52.5" x14ac:dyDescent="0.4">
      <c r="A12" s="16" t="s">
        <v>28</v>
      </c>
      <c r="B12" s="16" t="s">
        <v>5</v>
      </c>
      <c r="C12" s="16" t="s">
        <v>115</v>
      </c>
      <c r="D12" s="17">
        <v>16011</v>
      </c>
      <c r="E12" s="18">
        <f t="shared" ca="1" si="0"/>
        <v>82</v>
      </c>
      <c r="F12" s="19">
        <v>30051183</v>
      </c>
      <c r="G12" s="20" t="s">
        <v>18</v>
      </c>
      <c r="H12" s="20" t="s">
        <v>18</v>
      </c>
      <c r="I12" s="20" t="s">
        <v>20</v>
      </c>
      <c r="J12" s="20" t="s">
        <v>20</v>
      </c>
      <c r="K12" s="20" t="s">
        <v>11</v>
      </c>
      <c r="L12" s="20" t="s">
        <v>12</v>
      </c>
      <c r="M12" s="20" t="s">
        <v>65</v>
      </c>
      <c r="N12" s="20" t="s">
        <v>56</v>
      </c>
      <c r="O12" s="20" t="s">
        <v>62</v>
      </c>
      <c r="P12" s="20"/>
      <c r="Q12" s="20"/>
      <c r="R12" s="20" t="s">
        <v>104</v>
      </c>
      <c r="S12" s="16"/>
      <c r="T12" s="16"/>
      <c r="U12" s="16"/>
      <c r="V12" s="16"/>
      <c r="W12" s="16"/>
      <c r="X12" s="16"/>
      <c r="Y12" s="16" t="s">
        <v>91</v>
      </c>
      <c r="Z12" s="16" t="s">
        <v>92</v>
      </c>
      <c r="AA12" s="16" t="s">
        <v>94</v>
      </c>
      <c r="AB12" s="16" t="s">
        <v>135</v>
      </c>
      <c r="AC12" s="16"/>
      <c r="AD12" s="16"/>
      <c r="AE12" s="16"/>
    </row>
    <row r="13" spans="1:31" s="4" customFormat="1" ht="52.5" x14ac:dyDescent="0.4">
      <c r="A13" s="16" t="s">
        <v>29</v>
      </c>
      <c r="B13" s="16" t="s">
        <v>5</v>
      </c>
      <c r="C13" s="16" t="s">
        <v>121</v>
      </c>
      <c r="D13" s="17">
        <v>21129</v>
      </c>
      <c r="E13" s="18">
        <f t="shared" ca="1" si="0"/>
        <v>68</v>
      </c>
      <c r="F13" s="19">
        <v>30051183</v>
      </c>
      <c r="G13" s="20" t="s">
        <v>17</v>
      </c>
      <c r="H13" s="20" t="s">
        <v>18</v>
      </c>
      <c r="I13" s="20" t="s">
        <v>10</v>
      </c>
      <c r="J13" s="20" t="s">
        <v>10</v>
      </c>
      <c r="K13" s="20" t="s">
        <v>7</v>
      </c>
      <c r="L13" s="20" t="s">
        <v>12</v>
      </c>
      <c r="M13" s="20" t="s">
        <v>60</v>
      </c>
      <c r="N13" s="20" t="s">
        <v>56</v>
      </c>
      <c r="O13" s="20" t="s">
        <v>80</v>
      </c>
      <c r="P13" s="20"/>
      <c r="Q13" s="20"/>
      <c r="R13" s="20" t="s">
        <v>104</v>
      </c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ht="52.5" x14ac:dyDescent="0.4">
      <c r="A14" s="10" t="s">
        <v>30</v>
      </c>
      <c r="B14" s="10" t="s">
        <v>5</v>
      </c>
      <c r="C14" s="10" t="s">
        <v>111</v>
      </c>
      <c r="D14" s="11">
        <v>19657</v>
      </c>
      <c r="E14" s="8">
        <f t="shared" ca="1" si="0"/>
        <v>72</v>
      </c>
      <c r="F14" s="12">
        <v>30051183</v>
      </c>
      <c r="G14" s="13" t="s">
        <v>17</v>
      </c>
      <c r="H14" s="13" t="s">
        <v>17</v>
      </c>
      <c r="I14" s="13" t="s">
        <v>10</v>
      </c>
      <c r="J14" s="13" t="s">
        <v>10</v>
      </c>
      <c r="K14" s="13" t="s">
        <v>7</v>
      </c>
      <c r="L14" s="13" t="s">
        <v>8</v>
      </c>
      <c r="M14" s="13" t="s">
        <v>59</v>
      </c>
      <c r="N14" s="13"/>
      <c r="O14" s="13"/>
      <c r="P14" s="13"/>
      <c r="Q14" s="13"/>
      <c r="R14" s="21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4" customFormat="1" ht="52.5" x14ac:dyDescent="0.4">
      <c r="A15" s="16" t="s">
        <v>31</v>
      </c>
      <c r="B15" s="16" t="s">
        <v>5</v>
      </c>
      <c r="C15" s="16" t="s">
        <v>125</v>
      </c>
      <c r="D15" s="17">
        <v>14232</v>
      </c>
      <c r="E15" s="18">
        <f t="shared" ca="1" si="0"/>
        <v>87</v>
      </c>
      <c r="F15" s="19">
        <v>30051183</v>
      </c>
      <c r="G15" s="20" t="s">
        <v>17</v>
      </c>
      <c r="H15" s="20" t="s">
        <v>18</v>
      </c>
      <c r="I15" s="20" t="s">
        <v>10</v>
      </c>
      <c r="J15" s="20" t="s">
        <v>10</v>
      </c>
      <c r="K15" s="20" t="s">
        <v>7</v>
      </c>
      <c r="L15" s="20" t="s">
        <v>8</v>
      </c>
      <c r="M15" s="20" t="s">
        <v>60</v>
      </c>
      <c r="N15" s="20" t="s">
        <v>56</v>
      </c>
      <c r="O15" s="20" t="s">
        <v>62</v>
      </c>
      <c r="P15" s="20"/>
      <c r="Q15" s="20"/>
      <c r="R15" s="20" t="s">
        <v>104</v>
      </c>
      <c r="S15" s="16"/>
      <c r="T15" s="16"/>
      <c r="U15" s="16"/>
      <c r="V15" s="16"/>
      <c r="W15" s="16"/>
      <c r="X15" s="16"/>
      <c r="Y15" s="16" t="s">
        <v>91</v>
      </c>
      <c r="Z15" s="16" t="s">
        <v>92</v>
      </c>
      <c r="AA15" s="16"/>
      <c r="AB15" s="16"/>
      <c r="AC15" s="16"/>
      <c r="AD15" s="16"/>
      <c r="AE15" s="16"/>
    </row>
    <row r="16" spans="1:31" ht="157.5" x14ac:dyDescent="0.4">
      <c r="A16" s="10" t="s">
        <v>32</v>
      </c>
      <c r="B16" s="10" t="s">
        <v>5</v>
      </c>
      <c r="C16" s="10" t="s">
        <v>115</v>
      </c>
      <c r="D16" s="11">
        <v>24712</v>
      </c>
      <c r="E16" s="8">
        <f t="shared" ca="1" si="0"/>
        <v>58</v>
      </c>
      <c r="F16" s="12">
        <v>30051183</v>
      </c>
      <c r="G16" s="13" t="s">
        <v>17</v>
      </c>
      <c r="H16" s="13" t="s">
        <v>16</v>
      </c>
      <c r="I16" s="13" t="s">
        <v>10</v>
      </c>
      <c r="J16" s="13" t="s">
        <v>10</v>
      </c>
      <c r="K16" s="13" t="s">
        <v>7</v>
      </c>
      <c r="L16" s="13" t="s">
        <v>8</v>
      </c>
      <c r="M16" s="13" t="s">
        <v>60</v>
      </c>
      <c r="N16" s="13" t="s">
        <v>56</v>
      </c>
      <c r="O16" s="13" t="s">
        <v>59</v>
      </c>
      <c r="P16" s="13" t="s">
        <v>80</v>
      </c>
      <c r="Q16" s="13" t="s">
        <v>133</v>
      </c>
      <c r="R16" s="15" t="s">
        <v>103</v>
      </c>
      <c r="S16" s="10"/>
      <c r="T16" s="10" t="s">
        <v>56</v>
      </c>
      <c r="U16" s="10" t="s">
        <v>74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4" customFormat="1" ht="52.5" x14ac:dyDescent="0.4">
      <c r="A17" s="16" t="s">
        <v>33</v>
      </c>
      <c r="B17" s="16" t="s">
        <v>5</v>
      </c>
      <c r="C17" s="16" t="s">
        <v>117</v>
      </c>
      <c r="D17" s="17">
        <v>22886</v>
      </c>
      <c r="E17" s="18">
        <f t="shared" ca="1" si="0"/>
        <v>63</v>
      </c>
      <c r="F17" s="19">
        <v>30051183</v>
      </c>
      <c r="G17" s="20" t="s">
        <v>17</v>
      </c>
      <c r="H17" s="20" t="s">
        <v>18</v>
      </c>
      <c r="I17" s="20" t="s">
        <v>20</v>
      </c>
      <c r="J17" s="20" t="s">
        <v>20</v>
      </c>
      <c r="K17" s="20" t="s">
        <v>11</v>
      </c>
      <c r="L17" s="20" t="s">
        <v>12</v>
      </c>
      <c r="M17" s="20" t="s">
        <v>60</v>
      </c>
      <c r="N17" s="20" t="s">
        <v>57</v>
      </c>
      <c r="O17" s="20"/>
      <c r="P17" s="20"/>
      <c r="Q17" s="20"/>
      <c r="R17" s="20" t="s">
        <v>104</v>
      </c>
      <c r="S17" s="16"/>
      <c r="T17" s="16"/>
      <c r="U17" s="16"/>
      <c r="V17" s="16"/>
      <c r="W17" s="16"/>
      <c r="X17" s="16"/>
      <c r="Y17" s="16" t="s">
        <v>67</v>
      </c>
      <c r="Z17" s="16" t="s">
        <v>59</v>
      </c>
      <c r="AA17" s="16" t="s">
        <v>69</v>
      </c>
      <c r="AB17" s="16" t="s">
        <v>92</v>
      </c>
      <c r="AC17" s="16"/>
      <c r="AD17" s="16"/>
      <c r="AE17" s="16"/>
    </row>
    <row r="18" spans="1:31" s="5" customFormat="1" ht="52.5" x14ac:dyDescent="0.4">
      <c r="A18" s="22" t="s">
        <v>45</v>
      </c>
      <c r="B18" s="22" t="s">
        <v>5</v>
      </c>
      <c r="C18" s="22" t="s">
        <v>124</v>
      </c>
      <c r="D18" s="23">
        <v>21477</v>
      </c>
      <c r="E18" s="24">
        <f t="shared" ca="1" si="0"/>
        <v>67</v>
      </c>
      <c r="F18" s="25" t="s">
        <v>129</v>
      </c>
      <c r="G18" s="26" t="s">
        <v>16</v>
      </c>
      <c r="H18" s="26" t="s">
        <v>85</v>
      </c>
      <c r="I18" s="26" t="s">
        <v>11</v>
      </c>
      <c r="J18" s="26"/>
      <c r="K18" s="26" t="s">
        <v>12</v>
      </c>
      <c r="L18" s="26"/>
      <c r="M18" s="26"/>
      <c r="N18" s="26"/>
      <c r="O18" s="26"/>
      <c r="P18" s="26"/>
      <c r="Q18" s="26"/>
      <c r="R18" s="24" t="s">
        <v>85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s="4" customFormat="1" ht="52.5" x14ac:dyDescent="0.4">
      <c r="A19" s="16" t="s">
        <v>46</v>
      </c>
      <c r="B19" s="16" t="s">
        <v>5</v>
      </c>
      <c r="C19" s="16" t="s">
        <v>112</v>
      </c>
      <c r="D19" s="17">
        <v>25444</v>
      </c>
      <c r="E19" s="18">
        <f t="shared" ca="1" si="0"/>
        <v>56</v>
      </c>
      <c r="F19" s="19" t="s">
        <v>129</v>
      </c>
      <c r="G19" s="20" t="s">
        <v>17</v>
      </c>
      <c r="H19" s="20" t="s">
        <v>16</v>
      </c>
      <c r="I19" s="20" t="s">
        <v>10</v>
      </c>
      <c r="J19" s="20" t="s">
        <v>47</v>
      </c>
      <c r="K19" s="20" t="s">
        <v>7</v>
      </c>
      <c r="L19" s="20" t="s">
        <v>8</v>
      </c>
      <c r="M19" s="20" t="s">
        <v>60</v>
      </c>
      <c r="N19" s="20" t="s">
        <v>56</v>
      </c>
      <c r="O19" s="20" t="s">
        <v>59</v>
      </c>
      <c r="P19" s="20" t="s">
        <v>80</v>
      </c>
      <c r="Q19" s="20"/>
      <c r="R19" s="20" t="s">
        <v>104</v>
      </c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s="4" customFormat="1" ht="52.5" x14ac:dyDescent="0.4">
      <c r="A20" s="16" t="s">
        <v>48</v>
      </c>
      <c r="B20" s="16" t="s">
        <v>5</v>
      </c>
      <c r="C20" s="16" t="s">
        <v>110</v>
      </c>
      <c r="D20" s="17">
        <v>17580</v>
      </c>
      <c r="E20" s="18">
        <f t="shared" ca="1" si="0"/>
        <v>78</v>
      </c>
      <c r="F20" s="19">
        <v>30051183</v>
      </c>
      <c r="G20" s="20" t="s">
        <v>18</v>
      </c>
      <c r="H20" s="20" t="s">
        <v>18</v>
      </c>
      <c r="I20" s="20" t="s">
        <v>7</v>
      </c>
      <c r="J20" s="20" t="s">
        <v>7</v>
      </c>
      <c r="K20" s="20" t="s">
        <v>8</v>
      </c>
      <c r="L20" s="20" t="s">
        <v>60</v>
      </c>
      <c r="M20" s="20" t="s">
        <v>56</v>
      </c>
      <c r="N20" s="20" t="s">
        <v>57</v>
      </c>
      <c r="O20" s="20"/>
      <c r="P20" s="20"/>
      <c r="Q20" s="20"/>
      <c r="R20" s="20" t="s">
        <v>104</v>
      </c>
      <c r="S20" s="16"/>
      <c r="T20" s="16"/>
      <c r="U20" s="16"/>
      <c r="V20" s="16"/>
      <c r="W20" s="16"/>
      <c r="X20" s="16"/>
      <c r="Y20" s="16" t="s">
        <v>67</v>
      </c>
      <c r="Z20" s="16" t="s">
        <v>59</v>
      </c>
      <c r="AA20" s="16" t="s">
        <v>69</v>
      </c>
      <c r="AB20" s="16"/>
      <c r="AC20" s="16"/>
      <c r="AD20" s="16"/>
      <c r="AE20" s="16"/>
    </row>
    <row r="21" spans="1:31" s="4" customFormat="1" ht="52.5" x14ac:dyDescent="0.4">
      <c r="A21" s="16" t="s">
        <v>52</v>
      </c>
      <c r="B21" s="16" t="s">
        <v>5</v>
      </c>
      <c r="C21" s="16" t="s">
        <v>110</v>
      </c>
      <c r="D21" s="17">
        <v>17834</v>
      </c>
      <c r="E21" s="18">
        <f t="shared" ca="1" si="0"/>
        <v>77</v>
      </c>
      <c r="F21" s="19">
        <v>30051183</v>
      </c>
      <c r="G21" s="20" t="s">
        <v>16</v>
      </c>
      <c r="H21" s="20" t="s">
        <v>16</v>
      </c>
      <c r="I21" s="20" t="s">
        <v>8</v>
      </c>
      <c r="J21" s="20"/>
      <c r="K21" s="20" t="s">
        <v>64</v>
      </c>
      <c r="L21" s="20" t="s">
        <v>59</v>
      </c>
      <c r="M21" s="20" t="s">
        <v>62</v>
      </c>
      <c r="N21" s="20"/>
      <c r="O21" s="20"/>
      <c r="P21" s="20"/>
      <c r="Q21" s="20"/>
      <c r="R21" s="20" t="s">
        <v>104</v>
      </c>
      <c r="S21" s="16"/>
      <c r="T21" s="16"/>
      <c r="U21" s="16"/>
      <c r="V21" s="16"/>
      <c r="W21" s="16"/>
      <c r="X21" s="16"/>
      <c r="Y21" s="16" t="s">
        <v>91</v>
      </c>
      <c r="Z21" s="16" t="s">
        <v>92</v>
      </c>
      <c r="AA21" s="16"/>
      <c r="AB21" s="16"/>
      <c r="AC21" s="16"/>
      <c r="AD21" s="16"/>
      <c r="AE21" s="16"/>
    </row>
    <row r="22" spans="1:31" ht="78.75" x14ac:dyDescent="0.4">
      <c r="A22" s="10" t="s">
        <v>72</v>
      </c>
      <c r="B22" s="10" t="s">
        <v>5</v>
      </c>
      <c r="C22" s="10" t="s">
        <v>121</v>
      </c>
      <c r="D22" s="11">
        <v>21252</v>
      </c>
      <c r="E22" s="8">
        <f t="shared" ca="1" si="0"/>
        <v>68</v>
      </c>
      <c r="F22" s="12">
        <v>30051183</v>
      </c>
      <c r="G22" s="13" t="s">
        <v>16</v>
      </c>
      <c r="H22" s="13" t="s">
        <v>16</v>
      </c>
      <c r="I22" s="13" t="s">
        <v>60</v>
      </c>
      <c r="J22" s="13" t="s">
        <v>60</v>
      </c>
      <c r="K22" s="13" t="s">
        <v>56</v>
      </c>
      <c r="L22" s="13" t="s">
        <v>59</v>
      </c>
      <c r="M22" s="13"/>
      <c r="N22" s="13"/>
      <c r="O22" s="13"/>
      <c r="P22" s="13"/>
      <c r="Q22" s="13"/>
      <c r="R22" s="15" t="s">
        <v>97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ht="52.5" x14ac:dyDescent="0.4">
      <c r="A23" s="10" t="s">
        <v>88</v>
      </c>
      <c r="B23" s="10" t="s">
        <v>5</v>
      </c>
      <c r="C23" s="10" t="s">
        <v>115</v>
      </c>
      <c r="D23" s="11">
        <v>15770</v>
      </c>
      <c r="E23" s="8">
        <f t="shared" ca="1" si="0"/>
        <v>83</v>
      </c>
      <c r="F23" s="12">
        <v>30051183</v>
      </c>
      <c r="G23" s="13" t="s">
        <v>17</v>
      </c>
      <c r="H23" s="13" t="s">
        <v>16</v>
      </c>
      <c r="I23" s="13" t="s">
        <v>89</v>
      </c>
      <c r="J23" s="13" t="s">
        <v>60</v>
      </c>
      <c r="K23" s="13" t="s">
        <v>60</v>
      </c>
      <c r="L23" s="13" t="s">
        <v>56</v>
      </c>
      <c r="M23" s="13" t="s">
        <v>59</v>
      </c>
      <c r="N23" s="13" t="s">
        <v>80</v>
      </c>
      <c r="O23" s="13"/>
      <c r="P23" s="13"/>
      <c r="Q23" s="13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ht="52.5" x14ac:dyDescent="0.4">
      <c r="A24" s="10" t="s">
        <v>83</v>
      </c>
      <c r="B24" s="10" t="s">
        <v>5</v>
      </c>
      <c r="C24" s="10" t="s">
        <v>123</v>
      </c>
      <c r="D24" s="11">
        <v>17160</v>
      </c>
      <c r="E24" s="8">
        <f t="shared" ca="1" si="0"/>
        <v>79</v>
      </c>
      <c r="F24" s="12">
        <v>30051183</v>
      </c>
      <c r="G24" s="13" t="s">
        <v>17</v>
      </c>
      <c r="H24" s="13" t="s">
        <v>18</v>
      </c>
      <c r="I24" s="13" t="s">
        <v>59</v>
      </c>
      <c r="J24" s="13" t="s">
        <v>59</v>
      </c>
      <c r="K24" s="13" t="s">
        <v>80</v>
      </c>
      <c r="L24" s="13" t="s">
        <v>105</v>
      </c>
      <c r="M24" s="13"/>
      <c r="N24" s="13"/>
      <c r="O24" s="13"/>
      <c r="P24" s="13"/>
      <c r="Q24" s="13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52.5" x14ac:dyDescent="0.4">
      <c r="A25" s="8" t="s">
        <v>0</v>
      </c>
      <c r="B25" s="8" t="s">
        <v>1</v>
      </c>
      <c r="C25" s="8" t="s">
        <v>106</v>
      </c>
      <c r="D25" s="11"/>
      <c r="E25" s="8" t="s">
        <v>107</v>
      </c>
      <c r="F25" s="12"/>
      <c r="G25" s="8" t="s">
        <v>15</v>
      </c>
      <c r="H25" s="8"/>
      <c r="I25" s="8" t="s">
        <v>3</v>
      </c>
      <c r="J25" s="8" t="s">
        <v>2</v>
      </c>
      <c r="K25" s="8" t="s">
        <v>4</v>
      </c>
      <c r="L25" s="8" t="s">
        <v>13</v>
      </c>
      <c r="M25" s="8" t="s">
        <v>21</v>
      </c>
      <c r="N25" s="8" t="s">
        <v>58</v>
      </c>
      <c r="O25" s="8" t="s">
        <v>63</v>
      </c>
      <c r="P25" s="8" t="s">
        <v>73</v>
      </c>
      <c r="Q25" s="8" t="s">
        <v>75</v>
      </c>
      <c r="R25" s="8"/>
      <c r="S25" s="8"/>
      <c r="T25" s="8" t="s">
        <v>84</v>
      </c>
      <c r="U25" s="8" t="s">
        <v>85</v>
      </c>
      <c r="V25" s="8" t="s">
        <v>81</v>
      </c>
      <c r="W25" s="8" t="s">
        <v>76</v>
      </c>
      <c r="X25" s="8" t="s">
        <v>71</v>
      </c>
      <c r="Y25" s="8" t="s">
        <v>66</v>
      </c>
      <c r="Z25" s="8" t="s">
        <v>68</v>
      </c>
      <c r="AA25" s="8" t="s">
        <v>70</v>
      </c>
      <c r="AB25" s="10"/>
      <c r="AC25" s="10"/>
      <c r="AD25" s="10"/>
      <c r="AE25" s="10"/>
    </row>
    <row r="26" spans="1:31" s="4" customFormat="1" ht="52.5" x14ac:dyDescent="0.4">
      <c r="A26" s="16" t="s">
        <v>34</v>
      </c>
      <c r="B26" s="16" t="s">
        <v>35</v>
      </c>
      <c r="C26" s="16" t="s">
        <v>122</v>
      </c>
      <c r="D26" s="17">
        <v>13110</v>
      </c>
      <c r="E26" s="18">
        <f t="shared" ca="1" si="0"/>
        <v>90</v>
      </c>
      <c r="F26" s="19" t="s">
        <v>130</v>
      </c>
      <c r="G26" s="20" t="s">
        <v>17</v>
      </c>
      <c r="H26" s="20" t="s">
        <v>18</v>
      </c>
      <c r="I26" s="20" t="s">
        <v>7</v>
      </c>
      <c r="J26" s="20" t="s">
        <v>7</v>
      </c>
      <c r="K26" s="20" t="s">
        <v>8</v>
      </c>
      <c r="L26" s="20" t="s">
        <v>60</v>
      </c>
      <c r="M26" s="20" t="s">
        <v>56</v>
      </c>
      <c r="N26" s="20" t="s">
        <v>59</v>
      </c>
      <c r="O26" s="20" t="s">
        <v>79</v>
      </c>
      <c r="P26" s="20"/>
      <c r="Q26" s="20"/>
      <c r="R26" s="20" t="s">
        <v>104</v>
      </c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1" ht="157.5" x14ac:dyDescent="0.4">
      <c r="A27" s="10" t="s">
        <v>36</v>
      </c>
      <c r="B27" s="10" t="s">
        <v>35</v>
      </c>
      <c r="C27" s="10" t="s">
        <v>109</v>
      </c>
      <c r="D27" s="11">
        <v>17923</v>
      </c>
      <c r="E27" s="8">
        <f t="shared" ca="1" si="0"/>
        <v>77</v>
      </c>
      <c r="F27" s="12" t="s">
        <v>130</v>
      </c>
      <c r="G27" s="13" t="s">
        <v>18</v>
      </c>
      <c r="H27" s="13" t="s">
        <v>18</v>
      </c>
      <c r="I27" s="13" t="s">
        <v>7</v>
      </c>
      <c r="J27" s="13" t="s">
        <v>60</v>
      </c>
      <c r="K27" s="13" t="s">
        <v>8</v>
      </c>
      <c r="L27" s="13" t="s">
        <v>60</v>
      </c>
      <c r="M27" s="13" t="s">
        <v>56</v>
      </c>
      <c r="N27" s="13" t="s">
        <v>61</v>
      </c>
      <c r="O27" s="13" t="s">
        <v>62</v>
      </c>
      <c r="P27" s="13" t="s">
        <v>133</v>
      </c>
      <c r="Q27" s="13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57.5" x14ac:dyDescent="0.4">
      <c r="A28" s="10" t="s">
        <v>37</v>
      </c>
      <c r="B28" s="10" t="s">
        <v>35</v>
      </c>
      <c r="C28" s="10" t="s">
        <v>109</v>
      </c>
      <c r="D28" s="11">
        <v>28959</v>
      </c>
      <c r="E28" s="8">
        <f t="shared" ca="1" si="0"/>
        <v>47</v>
      </c>
      <c r="F28" s="12" t="s">
        <v>130</v>
      </c>
      <c r="G28" s="13" t="s">
        <v>18</v>
      </c>
      <c r="H28" s="13" t="s">
        <v>18</v>
      </c>
      <c r="I28" s="13" t="s">
        <v>7</v>
      </c>
      <c r="J28" s="13" t="s">
        <v>7</v>
      </c>
      <c r="K28" s="13" t="s">
        <v>8</v>
      </c>
      <c r="L28" s="13" t="s">
        <v>60</v>
      </c>
      <c r="M28" s="13" t="s">
        <v>56</v>
      </c>
      <c r="N28" s="13" t="s">
        <v>62</v>
      </c>
      <c r="O28" s="13" t="s">
        <v>133</v>
      </c>
      <c r="P28" s="13"/>
      <c r="Q28" s="13"/>
      <c r="R28" s="10"/>
      <c r="S28" s="10"/>
      <c r="T28" s="10"/>
      <c r="U28" s="10"/>
      <c r="V28" s="10"/>
      <c r="W28" s="10"/>
      <c r="X28" s="10"/>
      <c r="Y28" s="14" t="s">
        <v>138</v>
      </c>
      <c r="Z28" s="10"/>
      <c r="AA28" s="10"/>
      <c r="AB28" s="10"/>
      <c r="AC28" s="10"/>
      <c r="AD28" s="10"/>
      <c r="AE28" s="10"/>
    </row>
    <row r="29" spans="1:31" s="4" customFormat="1" ht="52.5" x14ac:dyDescent="0.4">
      <c r="A29" s="16" t="s">
        <v>38</v>
      </c>
      <c r="B29" s="16" t="s">
        <v>35</v>
      </c>
      <c r="C29" s="16" t="s">
        <v>115</v>
      </c>
      <c r="D29" s="17">
        <v>27420</v>
      </c>
      <c r="E29" s="18">
        <f t="shared" ca="1" si="0"/>
        <v>51</v>
      </c>
      <c r="F29" s="19" t="s">
        <v>130</v>
      </c>
      <c r="G29" s="20" t="s">
        <v>17</v>
      </c>
      <c r="H29" s="20" t="s">
        <v>17</v>
      </c>
      <c r="I29" s="20" t="s">
        <v>20</v>
      </c>
      <c r="J29" s="20" t="s">
        <v>20</v>
      </c>
      <c r="K29" s="20" t="s">
        <v>11</v>
      </c>
      <c r="L29" s="20" t="s">
        <v>12</v>
      </c>
      <c r="M29" s="20" t="s">
        <v>60</v>
      </c>
      <c r="N29" s="20" t="s">
        <v>56</v>
      </c>
      <c r="O29" s="20" t="s">
        <v>57</v>
      </c>
      <c r="P29" s="20"/>
      <c r="Q29" s="20"/>
      <c r="R29" s="20" t="s">
        <v>104</v>
      </c>
      <c r="S29" s="16"/>
      <c r="T29" s="16"/>
      <c r="U29" s="16"/>
      <c r="V29" s="16"/>
      <c r="W29" s="16"/>
      <c r="X29" s="16"/>
      <c r="Y29" s="16" t="s">
        <v>67</v>
      </c>
      <c r="Z29" s="16" t="s">
        <v>59</v>
      </c>
      <c r="AA29" s="16" t="s">
        <v>69</v>
      </c>
      <c r="AB29" s="16"/>
      <c r="AC29" s="16"/>
      <c r="AD29" s="16"/>
      <c r="AE29" s="16"/>
    </row>
    <row r="30" spans="1:31" ht="52.5" x14ac:dyDescent="0.4">
      <c r="A30" s="10" t="s">
        <v>39</v>
      </c>
      <c r="B30" s="10" t="s">
        <v>35</v>
      </c>
      <c r="C30" s="10" t="s">
        <v>115</v>
      </c>
      <c r="D30" s="11">
        <v>23116</v>
      </c>
      <c r="E30" s="8">
        <f t="shared" ca="1" si="0"/>
        <v>63</v>
      </c>
      <c r="F30" s="12" t="s">
        <v>130</v>
      </c>
      <c r="G30" s="13" t="s">
        <v>17</v>
      </c>
      <c r="H30" s="13" t="s">
        <v>18</v>
      </c>
      <c r="I30" s="13" t="s">
        <v>20</v>
      </c>
      <c r="J30" s="13" t="s">
        <v>20</v>
      </c>
      <c r="K30" s="13" t="s">
        <v>60</v>
      </c>
      <c r="L30" s="13" t="s">
        <v>56</v>
      </c>
      <c r="M30" s="13" t="s">
        <v>59</v>
      </c>
      <c r="N30" s="13" t="s">
        <v>80</v>
      </c>
      <c r="O30" s="13" t="s">
        <v>94</v>
      </c>
      <c r="P30" s="13"/>
      <c r="Q30" s="13"/>
      <c r="R30" s="10"/>
      <c r="S30" s="10"/>
      <c r="T30" s="10"/>
      <c r="U30" s="10"/>
      <c r="V30" s="10" t="s">
        <v>65</v>
      </c>
      <c r="W30" s="10"/>
      <c r="X30" s="10"/>
      <c r="Y30" s="14" t="s">
        <v>96</v>
      </c>
      <c r="Z30" s="10" t="s">
        <v>134</v>
      </c>
      <c r="AA30" s="10"/>
      <c r="AB30" s="10"/>
      <c r="AC30" s="10"/>
      <c r="AD30" s="10"/>
      <c r="AE30" s="10"/>
    </row>
    <row r="31" spans="1:31" ht="78.75" x14ac:dyDescent="0.4">
      <c r="A31" s="10" t="s">
        <v>40</v>
      </c>
      <c r="B31" s="10" t="s">
        <v>35</v>
      </c>
      <c r="C31" s="10" t="s">
        <v>121</v>
      </c>
      <c r="D31" s="11">
        <v>28158</v>
      </c>
      <c r="E31" s="8">
        <f t="shared" ca="1" si="0"/>
        <v>49</v>
      </c>
      <c r="F31" s="12" t="s">
        <v>130</v>
      </c>
      <c r="G31" s="13" t="s">
        <v>17</v>
      </c>
      <c r="H31" s="13" t="s">
        <v>18</v>
      </c>
      <c r="I31" s="13" t="s">
        <v>20</v>
      </c>
      <c r="J31" s="13" t="s">
        <v>20</v>
      </c>
      <c r="K31" s="13" t="s">
        <v>11</v>
      </c>
      <c r="L31" s="13" t="s">
        <v>12</v>
      </c>
      <c r="M31" s="13" t="s">
        <v>56</v>
      </c>
      <c r="N31" s="13" t="s">
        <v>57</v>
      </c>
      <c r="O31" s="13"/>
      <c r="P31" s="13"/>
      <c r="Q31" s="13"/>
      <c r="R31" s="15" t="s">
        <v>98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4" customFormat="1" ht="52.5" x14ac:dyDescent="0.4">
      <c r="A32" s="16" t="s">
        <v>41</v>
      </c>
      <c r="B32" s="16" t="s">
        <v>35</v>
      </c>
      <c r="C32" s="16" t="s">
        <v>115</v>
      </c>
      <c r="D32" s="17">
        <v>23264</v>
      </c>
      <c r="E32" s="18">
        <f t="shared" ca="1" si="0"/>
        <v>62</v>
      </c>
      <c r="F32" s="19" t="s">
        <v>130</v>
      </c>
      <c r="G32" s="20" t="s">
        <v>17</v>
      </c>
      <c r="H32" s="20" t="s">
        <v>16</v>
      </c>
      <c r="I32" s="20" t="s">
        <v>20</v>
      </c>
      <c r="J32" s="20" t="s">
        <v>20</v>
      </c>
      <c r="K32" s="20" t="s">
        <v>11</v>
      </c>
      <c r="L32" s="20" t="s">
        <v>12</v>
      </c>
      <c r="M32" s="20" t="s">
        <v>60</v>
      </c>
      <c r="N32" s="20" t="s">
        <v>57</v>
      </c>
      <c r="O32" s="20"/>
      <c r="P32" s="20"/>
      <c r="Q32" s="20"/>
      <c r="R32" s="20" t="s">
        <v>139</v>
      </c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157.5" x14ac:dyDescent="0.4">
      <c r="A33" s="10" t="s">
        <v>42</v>
      </c>
      <c r="B33" s="10" t="s">
        <v>35</v>
      </c>
      <c r="C33" s="10" t="s">
        <v>119</v>
      </c>
      <c r="D33" s="11">
        <v>24638</v>
      </c>
      <c r="E33" s="8">
        <f t="shared" ca="1" si="0"/>
        <v>58</v>
      </c>
      <c r="F33" s="12" t="s">
        <v>130</v>
      </c>
      <c r="G33" s="13" t="s">
        <v>17</v>
      </c>
      <c r="H33" s="13" t="s">
        <v>17</v>
      </c>
      <c r="I33" s="13" t="s">
        <v>20</v>
      </c>
      <c r="J33" s="13" t="s">
        <v>145</v>
      </c>
      <c r="K33" s="13" t="s">
        <v>11</v>
      </c>
      <c r="L33" s="13" t="s">
        <v>12</v>
      </c>
      <c r="M33" s="13" t="s">
        <v>60</v>
      </c>
      <c r="N33" s="13" t="s">
        <v>56</v>
      </c>
      <c r="O33" s="13" t="s">
        <v>59</v>
      </c>
      <c r="P33" s="13" t="s">
        <v>80</v>
      </c>
      <c r="Q33" s="13" t="s">
        <v>133</v>
      </c>
      <c r="R33" s="15" t="s">
        <v>97</v>
      </c>
      <c r="S33" s="10"/>
      <c r="T33" s="10"/>
      <c r="U33" s="10"/>
      <c r="V33" s="10"/>
      <c r="W33" s="10"/>
      <c r="X33" s="10"/>
      <c r="Y33" s="14" t="s">
        <v>138</v>
      </c>
      <c r="Z33" s="10"/>
      <c r="AA33" s="10"/>
      <c r="AB33" s="10"/>
      <c r="AC33" s="10"/>
      <c r="AD33" s="10"/>
      <c r="AE33" s="10"/>
    </row>
    <row r="34" spans="1:31" ht="75" customHeight="1" x14ac:dyDescent="0.4">
      <c r="A34" s="10" t="s">
        <v>43</v>
      </c>
      <c r="B34" s="10" t="s">
        <v>35</v>
      </c>
      <c r="C34" s="10" t="s">
        <v>115</v>
      </c>
      <c r="D34" s="11">
        <v>19433</v>
      </c>
      <c r="E34" s="8">
        <f t="shared" ca="1" si="0"/>
        <v>73</v>
      </c>
      <c r="F34" s="12" t="s">
        <v>130</v>
      </c>
      <c r="G34" s="13" t="s">
        <v>16</v>
      </c>
      <c r="H34" s="13"/>
      <c r="I34" s="13" t="s">
        <v>10</v>
      </c>
      <c r="J34" s="13" t="s">
        <v>44</v>
      </c>
      <c r="K34" s="13" t="s">
        <v>8</v>
      </c>
      <c r="L34" s="13" t="s">
        <v>60</v>
      </c>
      <c r="M34" s="13" t="s">
        <v>56</v>
      </c>
      <c r="N34" s="13" t="s">
        <v>74</v>
      </c>
      <c r="O34" s="13" t="s">
        <v>80</v>
      </c>
      <c r="P34" s="13" t="s">
        <v>94</v>
      </c>
      <c r="Q34" s="13"/>
      <c r="R34" s="10"/>
      <c r="S34" s="10"/>
      <c r="T34" s="10"/>
      <c r="U34" s="10"/>
      <c r="V34" s="10"/>
      <c r="W34" s="10"/>
      <c r="X34" s="10"/>
      <c r="Y34" s="10" t="s">
        <v>140</v>
      </c>
      <c r="Z34" s="10"/>
      <c r="AA34" s="10"/>
      <c r="AB34" s="10"/>
      <c r="AC34" s="10"/>
      <c r="AD34" s="10"/>
      <c r="AE34" s="7" t="s">
        <v>142</v>
      </c>
    </row>
    <row r="35" spans="1:31" ht="52.5" x14ac:dyDescent="0.4">
      <c r="A35" s="10" t="s">
        <v>49</v>
      </c>
      <c r="B35" s="10" t="s">
        <v>35</v>
      </c>
      <c r="C35" s="10" t="s">
        <v>120</v>
      </c>
      <c r="D35" s="11">
        <v>20863</v>
      </c>
      <c r="E35" s="8">
        <f t="shared" ca="1" si="0"/>
        <v>69</v>
      </c>
      <c r="F35" s="12" t="s">
        <v>130</v>
      </c>
      <c r="G35" s="13" t="s">
        <v>18</v>
      </c>
      <c r="H35" s="13" t="s">
        <v>18</v>
      </c>
      <c r="I35" s="13" t="s">
        <v>8</v>
      </c>
      <c r="J35" s="13" t="s">
        <v>60</v>
      </c>
      <c r="K35" s="13" t="s">
        <v>60</v>
      </c>
      <c r="L35" s="13" t="s">
        <v>80</v>
      </c>
      <c r="M35" s="13" t="s">
        <v>94</v>
      </c>
      <c r="N35" s="13"/>
      <c r="O35" s="13"/>
      <c r="P35" s="13"/>
      <c r="Q35" s="13"/>
      <c r="R35" s="10"/>
      <c r="S35" s="10"/>
      <c r="T35" s="10" t="s">
        <v>78</v>
      </c>
      <c r="U35" s="10" t="s">
        <v>77</v>
      </c>
      <c r="V35" s="10" t="s">
        <v>56</v>
      </c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ht="52.5" x14ac:dyDescent="0.4">
      <c r="A36" s="10" t="s">
        <v>50</v>
      </c>
      <c r="B36" s="10" t="s">
        <v>35</v>
      </c>
      <c r="C36" s="10" t="s">
        <v>116</v>
      </c>
      <c r="D36" s="11">
        <v>27673</v>
      </c>
      <c r="E36" s="8">
        <f t="shared" ca="1" si="0"/>
        <v>50</v>
      </c>
      <c r="F36" s="12" t="s">
        <v>130</v>
      </c>
      <c r="G36" s="13" t="s">
        <v>17</v>
      </c>
      <c r="H36" s="13" t="s">
        <v>16</v>
      </c>
      <c r="I36" s="13" t="s">
        <v>8</v>
      </c>
      <c r="J36" s="13" t="s">
        <v>60</v>
      </c>
      <c r="K36" s="13" t="s">
        <v>60</v>
      </c>
      <c r="L36" s="13" t="s">
        <v>56</v>
      </c>
      <c r="M36" s="13" t="s">
        <v>62</v>
      </c>
      <c r="N36" s="13" t="s">
        <v>80</v>
      </c>
      <c r="O36" s="13" t="s">
        <v>131</v>
      </c>
      <c r="P36" s="13"/>
      <c r="Q36" s="13"/>
      <c r="R36" s="10"/>
      <c r="S36" s="10"/>
      <c r="T36" s="10" t="s">
        <v>56</v>
      </c>
      <c r="U36" s="10" t="s">
        <v>59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52.5" x14ac:dyDescent="0.4">
      <c r="A37" s="16" t="s">
        <v>51</v>
      </c>
      <c r="B37" s="16" t="s">
        <v>35</v>
      </c>
      <c r="C37" s="16" t="s">
        <v>118</v>
      </c>
      <c r="D37" s="17">
        <v>19539</v>
      </c>
      <c r="E37" s="18">
        <f t="shared" ca="1" si="0"/>
        <v>72</v>
      </c>
      <c r="F37" s="19">
        <v>30051183</v>
      </c>
      <c r="G37" s="20" t="s">
        <v>16</v>
      </c>
      <c r="H37" s="20" t="s">
        <v>16</v>
      </c>
      <c r="I37" s="20" t="s">
        <v>12</v>
      </c>
      <c r="J37" s="20"/>
      <c r="K37" s="20" t="s">
        <v>65</v>
      </c>
      <c r="L37" s="20" t="s">
        <v>57</v>
      </c>
      <c r="M37" s="20"/>
      <c r="N37" s="20"/>
      <c r="O37" s="20"/>
      <c r="P37" s="20"/>
      <c r="Q37" s="20"/>
      <c r="R37" s="20" t="s">
        <v>104</v>
      </c>
      <c r="S37" s="16"/>
      <c r="T37" s="16"/>
      <c r="U37" s="16"/>
      <c r="V37" s="16"/>
      <c r="W37" s="16"/>
      <c r="X37" s="16" t="s">
        <v>65</v>
      </c>
      <c r="Y37" s="16" t="s">
        <v>67</v>
      </c>
      <c r="Z37" s="16" t="s">
        <v>59</v>
      </c>
      <c r="AA37" s="16" t="s">
        <v>69</v>
      </c>
      <c r="AB37" s="16"/>
      <c r="AC37" s="16"/>
      <c r="AD37" s="16"/>
      <c r="AE37" s="16"/>
    </row>
    <row r="38" spans="1:31" ht="46.5" customHeight="1" x14ac:dyDescent="0.4">
      <c r="A38" s="10" t="s">
        <v>53</v>
      </c>
      <c r="B38" s="10" t="s">
        <v>35</v>
      </c>
      <c r="C38" s="10" t="s">
        <v>114</v>
      </c>
      <c r="D38" s="11">
        <v>13917</v>
      </c>
      <c r="E38" s="8">
        <f t="shared" ca="1" si="0"/>
        <v>88</v>
      </c>
      <c r="F38" s="12">
        <v>30051183</v>
      </c>
      <c r="G38" s="13" t="s">
        <v>16</v>
      </c>
      <c r="H38" s="13" t="s">
        <v>16</v>
      </c>
      <c r="I38" s="13" t="s">
        <v>8</v>
      </c>
      <c r="J38" s="13"/>
      <c r="K38" s="13" t="s">
        <v>60</v>
      </c>
      <c r="L38" s="13" t="s">
        <v>64</v>
      </c>
      <c r="M38" s="13"/>
      <c r="N38" s="13"/>
      <c r="O38" s="13"/>
      <c r="P38" s="13"/>
      <c r="Q38" s="13"/>
      <c r="R38" s="26" t="s">
        <v>99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7" t="s">
        <v>143</v>
      </c>
    </row>
    <row r="39" spans="1:31" ht="78.75" x14ac:dyDescent="0.4">
      <c r="A39" s="10" t="s">
        <v>54</v>
      </c>
      <c r="B39" s="10" t="s">
        <v>35</v>
      </c>
      <c r="C39" s="10" t="s">
        <v>113</v>
      </c>
      <c r="D39" s="11">
        <v>19646</v>
      </c>
      <c r="E39" s="8">
        <f t="shared" ca="1" si="0"/>
        <v>72</v>
      </c>
      <c r="F39" s="12">
        <v>30051183</v>
      </c>
      <c r="G39" s="13" t="s">
        <v>17</v>
      </c>
      <c r="H39" s="13" t="s">
        <v>16</v>
      </c>
      <c r="I39" s="13" t="s">
        <v>8</v>
      </c>
      <c r="J39" s="13" t="s">
        <v>65</v>
      </c>
      <c r="K39" s="13" t="s">
        <v>60</v>
      </c>
      <c r="L39" s="13" t="s">
        <v>65</v>
      </c>
      <c r="M39" s="13" t="s">
        <v>56</v>
      </c>
      <c r="N39" s="13" t="s">
        <v>61</v>
      </c>
      <c r="O39" s="13" t="s">
        <v>80</v>
      </c>
      <c r="P39" s="13"/>
      <c r="Q39" s="13"/>
      <c r="R39" s="15" t="s">
        <v>97</v>
      </c>
      <c r="S39" s="10"/>
      <c r="T39" s="10" t="s">
        <v>56</v>
      </c>
      <c r="U39" s="10" t="s">
        <v>74</v>
      </c>
      <c r="V39" s="10"/>
      <c r="W39" s="10" t="s">
        <v>56</v>
      </c>
      <c r="X39" s="10"/>
      <c r="Y39" s="10"/>
      <c r="Z39" s="10"/>
      <c r="AA39" s="10"/>
      <c r="AB39" s="10"/>
      <c r="AC39" s="10"/>
      <c r="AD39" s="10"/>
      <c r="AE39" s="7" t="s">
        <v>143</v>
      </c>
    </row>
    <row r="40" spans="1:31" ht="52.5" x14ac:dyDescent="0.4">
      <c r="A40" s="10" t="s">
        <v>87</v>
      </c>
      <c r="B40" s="10" t="s">
        <v>35</v>
      </c>
      <c r="C40" s="10" t="s">
        <v>114</v>
      </c>
      <c r="D40" s="11">
        <v>24572</v>
      </c>
      <c r="E40" s="8">
        <f t="shared" ca="1" si="0"/>
        <v>59</v>
      </c>
      <c r="F40" s="12">
        <v>30051183</v>
      </c>
      <c r="G40" s="13" t="s">
        <v>18</v>
      </c>
      <c r="H40" s="13" t="s">
        <v>18</v>
      </c>
      <c r="I40" s="13" t="s">
        <v>60</v>
      </c>
      <c r="J40" s="13"/>
      <c r="K40" s="13"/>
      <c r="L40" s="13"/>
      <c r="M40" s="13"/>
      <c r="N40" s="13"/>
      <c r="O40" s="13"/>
      <c r="P40" s="13"/>
      <c r="Q40" s="13"/>
      <c r="R40" s="27" t="s">
        <v>100</v>
      </c>
      <c r="S40" s="10"/>
      <c r="T40" s="10" t="s">
        <v>60</v>
      </c>
      <c r="U40" s="10" t="s">
        <v>74</v>
      </c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x14ac:dyDescent="0.25">
      <c r="A41" s="3" t="s">
        <v>55</v>
      </c>
      <c r="E41" s="1"/>
    </row>
  </sheetData>
  <pageMargins left="0" right="0" top="0" bottom="0" header="0" footer="0"/>
  <pageSetup paperSize="9" scale="36" fitToWidth="2" fitToHeight="2" orientation="landscape" horizontalDpi="0" verticalDpi="0" r:id="rId1"/>
  <headerFooter scaleWithDoc="0"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autorizacaoceom@outlook.com</cp:lastModifiedBy>
  <cp:lastPrinted>2026-04-15T11:56:47Z</cp:lastPrinted>
  <dcterms:created xsi:type="dcterms:W3CDTF">2026-03-09T14:19:10Z</dcterms:created>
  <dcterms:modified xsi:type="dcterms:W3CDTF">2026-04-22T16:05:25Z</dcterms:modified>
</cp:coreProperties>
</file>